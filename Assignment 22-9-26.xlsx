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mart data\"/>
    </mc:Choice>
  </mc:AlternateContent>
  <xr:revisionPtr revIDLastSave="0" documentId="8_{CB90F99B-C10E-49B7-9294-C558BE3BFB5C}" xr6:coauthVersionLast="47" xr6:coauthVersionMax="47" xr10:uidLastSave="{00000000-0000-0000-0000-000000000000}"/>
  <bookViews>
    <workbookView xWindow="-108" yWindow="-108" windowWidth="23256" windowHeight="13896" activeTab="4" xr2:uid="{12E90298-4444-4AC9-9A9E-C7B84AA8471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H3" i="4"/>
  <c r="E2" i="4"/>
  <c r="E3" i="4"/>
  <c r="E4" i="4"/>
  <c r="E5" i="4"/>
  <c r="E6" i="4"/>
  <c r="E7" i="4"/>
  <c r="E8" i="4"/>
  <c r="E9" i="4"/>
  <c r="E10" i="4"/>
  <c r="E11" i="4"/>
  <c r="L3" i="4"/>
  <c r="J3" i="4"/>
  <c r="D3" i="4"/>
  <c r="D4" i="4"/>
  <c r="D5" i="4"/>
  <c r="D6" i="4"/>
  <c r="D7" i="4"/>
  <c r="D8" i="4"/>
  <c r="D9" i="4"/>
  <c r="D10" i="4"/>
  <c r="D11" i="4"/>
  <c r="D2" i="4"/>
  <c r="I4" i="3"/>
  <c r="F2" i="3"/>
  <c r="F3" i="3"/>
  <c r="F4" i="3"/>
  <c r="F5" i="3"/>
  <c r="F6" i="3"/>
  <c r="F7" i="3"/>
  <c r="F8" i="3"/>
  <c r="F9" i="3"/>
  <c r="F10" i="3"/>
  <c r="E2" i="3"/>
  <c r="E3" i="3"/>
  <c r="E4" i="3"/>
  <c r="E5" i="3"/>
  <c r="E6" i="3"/>
  <c r="E7" i="3"/>
  <c r="E8" i="3"/>
  <c r="E9" i="3"/>
  <c r="E10" i="3"/>
  <c r="F2" i="2"/>
  <c r="F3" i="2"/>
  <c r="F4" i="2"/>
  <c r="F5" i="2"/>
  <c r="F6" i="2"/>
  <c r="F7" i="2"/>
  <c r="F8" i="2"/>
  <c r="F9" i="2"/>
  <c r="F10" i="2"/>
  <c r="F11" i="2"/>
  <c r="F2" i="1"/>
  <c r="F3" i="1"/>
  <c r="F4" i="1"/>
  <c r="F5" i="1"/>
  <c r="F9" i="1"/>
  <c r="F10" i="1"/>
  <c r="F8" i="1"/>
  <c r="F6" i="1"/>
  <c r="F7" i="1"/>
</calcChain>
</file>

<file path=xl/sharedStrings.xml><?xml version="1.0" encoding="utf-8"?>
<sst xmlns="http://schemas.openxmlformats.org/spreadsheetml/2006/main" count="122" uniqueCount="106">
  <si>
    <t xml:space="preserve">Student ID </t>
  </si>
  <si>
    <t xml:space="preserve"> Name         </t>
  </si>
  <si>
    <t xml:space="preserve"> Math Score </t>
  </si>
  <si>
    <t xml:space="preserve"> Science Score </t>
  </si>
  <si>
    <t xml:space="preserve"> English Score </t>
  </si>
  <si>
    <t xml:space="preserve"> John Doe       </t>
  </si>
  <si>
    <t xml:space="preserve"> Jane Smith     </t>
  </si>
  <si>
    <t xml:space="preserve"> David Brown    </t>
  </si>
  <si>
    <t xml:space="preserve"> Emily Johnson  </t>
  </si>
  <si>
    <t xml:space="preserve"> Michael Lee    </t>
  </si>
  <si>
    <t xml:space="preserve"> Sarah Wang     </t>
  </si>
  <si>
    <t xml:space="preserve"> Daniel Kim     </t>
  </si>
  <si>
    <t xml:space="preserve"> Jessica Liu    </t>
  </si>
  <si>
    <t xml:space="preserve"> Ethan Chen     </t>
  </si>
  <si>
    <t>1. Apply conditional formatting to highlight students with an average score above 85.</t>
  </si>
  <si>
    <t>2. Sort the student data based on their Math Score in descending order.</t>
  </si>
  <si>
    <t>3. Format the scores to one decimal place.</t>
  </si>
  <si>
    <t>Average</t>
  </si>
  <si>
    <t>Product ID</t>
  </si>
  <si>
    <t>Product Name</t>
  </si>
  <si>
    <t>Category</t>
  </si>
  <si>
    <t>Price</t>
  </si>
  <si>
    <t>Quantity</t>
  </si>
  <si>
    <t>Laptop</t>
  </si>
  <si>
    <t>Electronics</t>
  </si>
  <si>
    <t>T-shirt</t>
  </si>
  <si>
    <t>Clothing</t>
  </si>
  <si>
    <t>Smartphone</t>
  </si>
  <si>
    <t>Headphones</t>
  </si>
  <si>
    <t>Jeans</t>
  </si>
  <si>
    <t>Tablet</t>
  </si>
  <si>
    <t>Dress Shirt</t>
  </si>
  <si>
    <t>Camera</t>
  </si>
  <si>
    <t>Sneakers</t>
  </si>
  <si>
    <t>Smart Watch</t>
  </si>
  <si>
    <t>Task :</t>
  </si>
  <si>
    <t>1. Create a table to manage product inventory with columns for Product ID, Product Name, Category, Price, and Quantity.</t>
  </si>
  <si>
    <t>2. Calculate the total value of each product (Price * Quantity).</t>
  </si>
  <si>
    <t>3. Use data validation to create a drop-down list for selecting categories.</t>
  </si>
  <si>
    <t>4. Apply conditional formatting to highlight products with a price above $500.</t>
  </si>
  <si>
    <t>5. Insert a column chart to visualize the quantity of each product</t>
  </si>
  <si>
    <t>Total Value</t>
  </si>
  <si>
    <t>Month</t>
  </si>
  <si>
    <t>Sales A</t>
  </si>
  <si>
    <t>Sales B</t>
  </si>
  <si>
    <t>Sales C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</si>
  <si>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</si>
  <si>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</si>
  <si>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</si>
  <si>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</si>
  <si>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</si>
  <si>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</si>
  <si>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</si>
  <si>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</si>
  <si>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</si>
  <si>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1. Calculate the total sales for each month using the SUM function.</t>
  </si>
  <si>
    <t>2. Calculate the average sales across all three products for each month using the AVERAGE function.</t>
  </si>
  <si>
    <t>3. Use COUNTIF function to count the number of months where Sales A exceeded 1000.</t>
  </si>
  <si>
    <t>4. Use MAX function to find the highest sales value among all products for each month.</t>
  </si>
  <si>
    <t>5. Create a line chart to visualize the trend of Sales A, Sales B, and Sales Cover the three months.</t>
  </si>
  <si>
    <t>Total Sales</t>
  </si>
  <si>
    <t>Highest Sales</t>
  </si>
  <si>
    <t>Column1</t>
  </si>
  <si>
    <t>Item</t>
  </si>
  <si>
    <t>Cost</t>
  </si>
  <si>
    <t>Revenue</t>
  </si>
  <si>
    <t>Profit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</si>
  <si>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</si>
  <si>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</si>
  <si>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</si>
  <si>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</si>
  <si>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</si>
  <si>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</si>
  <si>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</si>
  <si>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</si>
  <si>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</si>
  <si>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</si>
  <si>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1. Calculate the profit for each product using a formula (Revenue - Cost).</t>
  </si>
  <si>
    <t>2. Calculate the total cost and total revenue using the SUM function.</t>
  </si>
  <si>
    <t>3. Use IF function to categorize each product as "Profitable" if Profit &gt; 0, otherwise "Not Profitable".</t>
  </si>
  <si>
    <t>4. Create a pie chart to represent the percentage distribution of Profitable and Not Profitable products.</t>
  </si>
  <si>
    <t>5. Format the financial statement with currency and percentage formats.</t>
  </si>
  <si>
    <t>Total Cost</t>
  </si>
  <si>
    <t>Total Revenue</t>
  </si>
  <si>
    <t>Profitable</t>
  </si>
  <si>
    <t>Not Profitable</t>
  </si>
  <si>
    <t>Employee ID</t>
  </si>
  <si>
    <t>Employee Name</t>
  </si>
  <si>
    <t>Department</t>
  </si>
  <si>
    <t>Salary</t>
  </si>
  <si>
    <t>Hire Date</t>
  </si>
  <si>
    <t>Emily|Johnson</t>
  </si>
  <si>
    <t>HR</t>
  </si>
  <si>
    <t>Michael|Lee</t>
  </si>
  <si>
    <t>Sales</t>
  </si>
  <si>
    <t>Sarah|Wang</t>
  </si>
  <si>
    <t>Finance</t>
  </si>
  <si>
    <t>Daniel|Kim</t>
  </si>
  <si>
    <t>Jessica|Liu</t>
  </si>
  <si>
    <t>Ethan|Chen</t>
  </si>
  <si>
    <t>Sophia|Brown</t>
  </si>
  <si>
    <t>1. Apply conditional formatting to highlight employees with a salary above $60000.</t>
  </si>
  <si>
    <t>2. Create a drop-down list for selecting departments using data validation.</t>
  </si>
  <si>
    <t>3. Use VLOOKUP function to retrieve the Department of Employee ID 2.</t>
  </si>
  <si>
    <t>4. Calculate the number of years each employee has been with the company using DATEDIF function.</t>
  </si>
  <si>
    <t>5. Create a PivotTable to summarize total salary by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</si>
</sst>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"/>
    <numFmt numFmtId="170" formatCode="[$₹-4009]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69" fontId="0" fillId="0" borderId="0" xfId="0" applyNumberFormat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1" fillId="3" borderId="2" xfId="0" applyFont="1" applyFill="1" applyBorder="1"/>
    <xf numFmtId="17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numFmt numFmtId="19" formatCode="m/d/yyyy"/>
    </dxf>
    <dxf>
      <numFmt numFmtId="170" formatCode="[$₹-4009]\ #,##0.00"/>
    </dxf>
    <dxf>
      <numFmt numFmtId="170" formatCode="[$₹-4009]\ #,##0.00"/>
    </dxf>
    <dxf>
      <numFmt numFmtId="170" formatCode="[$₹-4009]\ #,##0.00"/>
    </dxf>
    <dxf>
      <numFmt numFmtId="0" formatCode="General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Sheet2!$B$2:$B$11</c:f>
              <c:strCache>
                <c:ptCount val="10"/>
                <c:pt idx="0">
                  <c:v>Laptop</c:v>
                </c:pt>
                <c:pt idx="1">
                  <c:v>T-shirt</c:v>
                </c:pt>
                <c:pt idx="2">
                  <c:v>Smartphone</c:v>
                </c:pt>
                <c:pt idx="3">
                  <c:v>Headphones</c:v>
                </c:pt>
                <c:pt idx="4">
                  <c:v>Jeans</c:v>
                </c:pt>
                <c:pt idx="5">
                  <c:v>Tablet</c:v>
                </c:pt>
                <c:pt idx="6">
                  <c:v>Dress Shirt</c:v>
                </c:pt>
                <c:pt idx="7">
                  <c:v>Camera</c:v>
                </c:pt>
                <c:pt idx="8">
                  <c:v>Sneakers</c:v>
                </c:pt>
                <c:pt idx="9">
                  <c:v>Smart Watch</c:v>
                </c:pt>
              </c:strCache>
            </c:strRef>
          </c:cat>
          <c:val>
            <c:numRef>
              <c:f>Sheet2!$E$2:$E$11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8</c:v>
                </c:pt>
                <c:pt idx="3">
                  <c:v>15</c:v>
                </c:pt>
                <c:pt idx="4">
                  <c:v>12</c:v>
                </c:pt>
                <c:pt idx="5">
                  <c:v>6</c:v>
                </c:pt>
                <c:pt idx="6">
                  <c:v>20</c:v>
                </c:pt>
                <c:pt idx="7">
                  <c:v>3</c:v>
                </c:pt>
                <c:pt idx="8">
                  <c:v>7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A-4CD0-A250-8B2AE90ED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117104"/>
        <c:axId val="1039795376"/>
      </c:barChart>
      <c:catAx>
        <c:axId val="140211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795376"/>
        <c:crosses val="autoZero"/>
        <c:auto val="1"/>
        <c:lblAlgn val="ctr"/>
        <c:lblOffset val="100"/>
        <c:noMultiLvlLbl val="0"/>
      </c:catAx>
      <c:valAx>
        <c:axId val="103979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11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Sales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Sheet3!$A$2:$A$10</c:f>
              <c:strCache>
                <c:ptCount val="9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Sheet3!$B$2:$B$10</c:f>
              <c:numCache>
                <c:formatCode>General</c:formatCode>
                <c:ptCount val="9"/>
                <c:pt idx="0">
                  <c:v>1200</c:v>
                </c:pt>
                <c:pt idx="1">
                  <c:v>900</c:v>
                </c:pt>
                <c:pt idx="2">
                  <c:v>1300</c:v>
                </c:pt>
                <c:pt idx="3">
                  <c:v>1100</c:v>
                </c:pt>
                <c:pt idx="4">
                  <c:v>950</c:v>
                </c:pt>
                <c:pt idx="5">
                  <c:v>1150</c:v>
                </c:pt>
                <c:pt idx="6">
                  <c:v>1050</c:v>
                </c:pt>
                <c:pt idx="7">
                  <c:v>1000</c:v>
                </c:pt>
                <c:pt idx="8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6-445F-AA25-32D51C435DD4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Sales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Sheet3!$A$2:$A$10</c:f>
              <c:strCache>
                <c:ptCount val="9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Sheet3!$C$2:$C$10</c:f>
              <c:numCache>
                <c:formatCode>General</c:formatCode>
                <c:ptCount val="9"/>
                <c:pt idx="0">
                  <c:v>1100</c:v>
                </c:pt>
                <c:pt idx="1">
                  <c:v>1000</c:v>
                </c:pt>
                <c:pt idx="2">
                  <c:v>950</c:v>
                </c:pt>
                <c:pt idx="3">
                  <c:v>1200</c:v>
                </c:pt>
                <c:pt idx="4">
                  <c:v>800</c:v>
                </c:pt>
                <c:pt idx="5">
                  <c:v>1050</c:v>
                </c:pt>
                <c:pt idx="6">
                  <c:v>900</c:v>
                </c:pt>
                <c:pt idx="7">
                  <c:v>1150</c:v>
                </c:pt>
                <c:pt idx="8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06-445F-AA25-32D51C435DD4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Sales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Sheet3!$A$2:$A$10</c:f>
              <c:strCache>
                <c:ptCount val="9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Sheet3!$D$2:$D$10</c:f>
              <c:numCache>
                <c:formatCode>General</c:formatCode>
                <c:ptCount val="9"/>
                <c:pt idx="0">
                  <c:v>900</c:v>
                </c:pt>
                <c:pt idx="1">
                  <c:v>800</c:v>
                </c:pt>
                <c:pt idx="2">
                  <c:v>1050</c:v>
                </c:pt>
                <c:pt idx="3">
                  <c:v>850</c:v>
                </c:pt>
                <c:pt idx="4">
                  <c:v>950</c:v>
                </c:pt>
                <c:pt idx="5">
                  <c:v>1000</c:v>
                </c:pt>
                <c:pt idx="6">
                  <c:v>1100</c:v>
                </c:pt>
                <c:pt idx="7">
                  <c:v>950</c:v>
                </c:pt>
                <c:pt idx="8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06-445F-AA25-32D51C435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1409808"/>
        <c:axId val="1039762736"/>
      </c:lineChart>
      <c:catAx>
        <c:axId val="147140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762736"/>
        <c:crosses val="autoZero"/>
        <c:auto val="1"/>
        <c:lblAlgn val="ctr"/>
        <c:lblOffset val="100"/>
        <c:noMultiLvlLbl val="0"/>
      </c:catAx>
      <c:valAx>
        <c:axId val="103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40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Sheet4!$G$2:$H$2</c:f>
              <c:strCache>
                <c:ptCount val="2"/>
                <c:pt idx="0">
                  <c:v>Not Profitable</c:v>
                </c:pt>
                <c:pt idx="1">
                  <c:v>Profitable</c:v>
                </c:pt>
              </c:strCache>
            </c:strRef>
          </c:cat>
          <c:val>
            <c:numRef>
              <c:f>Sheet4!$G$3:$H$3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0-4FA8-8676-07993B66A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242761</xdr:colOff>
      <xdr:row>11</xdr:row>
      <xdr:rowOff>128798</xdr:rowOff>
    </xdr:from>
    <xdr:to>
      <xdr:col>5</xdr:col>
      <xdr:colOff>923841</xdr:colOff>
      <xdr:row>26</xdr:row>
      <xdr:rowOff>140936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AF3E4-8986-F8E5-1A31-03D376238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167640</xdr:colOff>
      <xdr:row>0</xdr:row>
      <xdr:rowOff>0</xdr:rowOff>
    </xdr:from>
    <xdr:to>
      <xdr:col>17</xdr:col>
      <xdr:colOff>7620</xdr:colOff>
      <xdr:row>15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C9139-E5AD-2539-C13C-889952E80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12</xdr:row>
      <xdr:rowOff>179070</xdr:rowOff>
    </xdr:from>
    <xdr:to>
      <xdr:col>6</xdr:col>
      <xdr:colOff>914400</xdr:colOff>
      <xdr:row>27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BEF441-7E90-BEED-EC53-12961C6EF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053AD-CE28-44F7-BFFE-375BB5E86E90}" name="Table1" displayName="Table1" ref="A1:F10" totalsRowShown="0">
  <autoFilter ref="A1:F10" xr:uid="{818053AD-CE28-44F7-BFFE-375BB5E86E90}"/>
  <sortState xmlns:xlrd2="http://schemas.microsoft.com/office/spreadsheetml/2017/richdata2" ref="A2:F10">
    <sortCondition descending="1" ref="C1:C10"/>
  </sortState>
  <tableColumns count="6">
    <tableColumn id="1" xr3:uid="{EACC18F5-5B15-4465-AE66-D7C61FAAFF77}" name="Student ID "/>
    <tableColumn id="2" xr3:uid="{80DDCB55-2CE5-4B4E-A2CD-5430AC6BEDD8}" name=" Name         "/>
    <tableColumn id="3" xr3:uid="{46C3C745-7A5F-41D4-A022-B9615884550B}" name=" Math Score "/>
    <tableColumn id="4" xr3:uid="{94F37A88-1C5B-4B7A-94D3-2D4A809DDA46}" name=" Science Score "/>
    <tableColumn id="5" xr3:uid="{DD793D3B-32CB-458A-B340-33C5925F4521}" name=" English Score "/>
    <tableColumn id="6" xr3:uid="{69CC45A1-B8F7-45B5-8327-15EE4A4EDEFB}" name="Average" dataDxfId="11">
      <calculatedColumnFormula>AVERAGE(Table1[[#This Row],[ Math Score ]:[ English Score ]])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F66380-8E7D-4E0F-825D-57B1354E8767}" name="Table2" displayName="Table2" ref="A1:F11" totalsRowShown="0">
  <autoFilter ref="A1:F11" xr:uid="{50F66380-8E7D-4E0F-825D-57B1354E8767}"/>
  <tableColumns count="6">
    <tableColumn id="1" xr3:uid="{CBC99C20-5D82-42F8-ACDA-3251AEE9F1BA}" name="Product ID"/>
    <tableColumn id="2" xr3:uid="{F988950C-01BB-44E1-994F-FF94A93C489B}" name="Product Name"/>
    <tableColumn id="3" xr3:uid="{D869ED25-8F7C-44CF-869D-A65F168C75AD}" name="Category"/>
    <tableColumn id="4" xr3:uid="{F1D72202-AF7D-4205-9686-E6463A7A04C9}" name="Price"/>
    <tableColumn id="5" xr3:uid="{BE49A602-59F8-47D1-B069-329FD3D69486}" name="Quantity"/>
    <tableColumn id="6" xr3:uid="{A0C9FF40-B4A2-434D-A113-C80D4BF158BA}" name="Total Value" dataDxfId="10">
      <calculatedColumnFormula>Table2[[#This Row],[Price]]*Table2[[#This Row],[Quantity]]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3B5C4A-7B50-4F3F-976A-5407D20DEDE8}" name="Table3" displayName="Table3" ref="A1:F10" totalsRowShown="0">
  <autoFilter ref="A1:F10" xr:uid="{073B5C4A-7B50-4F3F-976A-5407D20DEDE8}"/>
  <tableColumns count="6">
    <tableColumn id="1" xr3:uid="{7C17171C-2048-410A-A1F3-467A6898A293}" name="Month"/>
    <tableColumn id="2" xr3:uid="{4593E750-2F2A-4D5F-A650-0A85FB1B3506}" name="Sales A"/>
    <tableColumn id="3" xr3:uid="{6ACA5386-B919-4F98-B7F4-35220968E2FD}" name="Sales B"/>
    <tableColumn id="4" xr3:uid="{4B87847C-6033-49E7-84E5-3C2FB6267523}" name="Sales C"/>
    <tableColumn id="5" xr3:uid="{06A6226B-E28B-40C4-8B98-1A1C0E2A23C3}" name="Total Sales" dataDxfId="9">
      <calculatedColumnFormula>SUM(Table3[[#This Row],[Sales A]:[Sales C]])</calculatedColumnFormula>
    </tableColumn>
    <tableColumn id="6" xr3:uid="{0D6467D2-2C23-493D-A2D1-C66FBD53F295}" name="Average" dataDxfId="8">
      <calculatedColumnFormula>AVERAGE(Table3[[#This Row],[Sales A]:[Sales C]])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384C47-E29D-4004-B98B-792788545D40}" name="Table4" displayName="Table4" ref="A1:E11" totalsRowShown="0">
  <autoFilter ref="A1:E11" xr:uid="{D4384C47-E29D-4004-B98B-792788545D40}"/>
  <tableColumns count="5">
    <tableColumn id="1" xr3:uid="{EF5C334F-C648-4F1D-B04B-143B0179CF8E}" name="Item"/>
    <tableColumn id="2" xr3:uid="{3AF8BD5D-3A6D-4175-87DE-B780D3CBDA65}" name="Cost" dataDxfId="4"/>
    <tableColumn id="3" xr3:uid="{93FDD3F5-3006-4809-A35E-8298A528713D}" name="Revenue" dataDxfId="3"/>
    <tableColumn id="4" xr3:uid="{6A8DE644-C60C-47B5-9CD8-4C17BFCC33E6}" name="Profit" dataDxfId="2">
      <calculatedColumnFormula>C2-B2</calculatedColumnFormula>
    </tableColumn>
    <tableColumn id="5" xr3:uid="{2977A323-1673-4FBD-BBBE-21644AFBE289}" name="Column1" dataDxfId="5">
      <calculatedColumnFormula>IF(Table4[[#This Row],[Profit]]&gt;0,"Profitable","Not Profitable")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4C1B66-174B-44B7-B347-A3378B2D64AD}" name="Table6" displayName="Table6" ref="A1:E8" totalsRowShown="0">
  <autoFilter ref="A1:E8" xr:uid="{C54C1B66-174B-44B7-B347-A3378B2D64AD}"/>
  <tableColumns count="5">
    <tableColumn id="1" xr3:uid="{E2C5808F-EB0E-45FD-851B-91BF3C2FCF77}" name="Employee ID"/>
    <tableColumn id="2" xr3:uid="{D83E1606-4DA3-44DD-A9CD-2130303528F3}" name="Employee Name"/>
    <tableColumn id="3" xr3:uid="{B122AEF1-B988-4027-9903-7F07F98D6D12}" name="Department"/>
    <tableColumn id="4" xr3:uid="{96AC303E-ABD6-4181-B9F5-AF50CC8931C2}" name="Salary"/>
    <tableColumn id="5" xr3:uid="{91E169A9-A0B2-4FB4-9AF8-2715470A4A88}" name="Hire Date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B580-08CD-4416-AC4E-CB0D20F7977E}">
  <dimension ref="A1:F15"/>
  <sheetViews>
    <sheetView zoomScale="142" workbookViewId="0">
      <selection activeCell="H5" sqref="H5"/>
    </sheetView>
  </sheetViews>
  <sheetFormatPr defaultRowHeight="14.4" x14ac:dyDescent="0.3"/>
  <cols>
    <col min="1" max="1" width="11.21875" customWidth="1"/>
    <col min="2" max="2" width="15.6640625" customWidth="1"/>
    <col min="3" max="3" width="13.5546875" customWidth="1"/>
    <col min="4" max="4" width="14.88671875" customWidth="1"/>
    <col min="5" max="6" width="15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</row>
    <row r="2" spans="1:6" x14ac:dyDescent="0.3">
      <c r="A2">
        <v>5</v>
      </c>
      <c r="B2" t="s">
        <v>9</v>
      </c>
      <c r="C2">
        <v>95</v>
      </c>
      <c r="D2">
        <v>91</v>
      </c>
      <c r="E2">
        <v>87</v>
      </c>
      <c r="F2" s="1">
        <f>AVERAGE(Table1[[#This Row],[ Math Score ]:[ English Score ]])</f>
        <v>91</v>
      </c>
    </row>
    <row r="3" spans="1:6" x14ac:dyDescent="0.3">
      <c r="A3">
        <v>2</v>
      </c>
      <c r="B3" t="s">
        <v>6</v>
      </c>
      <c r="C3">
        <v>92</v>
      </c>
      <c r="D3">
        <v>88</v>
      </c>
      <c r="E3">
        <v>90</v>
      </c>
      <c r="F3" s="1">
        <f>AVERAGE(Table1[[#This Row],[ Math Score ]:[ English Score ]])</f>
        <v>90</v>
      </c>
    </row>
    <row r="4" spans="1:6" x14ac:dyDescent="0.3">
      <c r="A4">
        <v>9</v>
      </c>
      <c r="B4" t="s">
        <v>13</v>
      </c>
      <c r="C4">
        <v>91</v>
      </c>
      <c r="D4">
        <v>87</v>
      </c>
      <c r="E4">
        <v>91</v>
      </c>
      <c r="F4" s="1">
        <f>AVERAGE(Table1[[#This Row],[ Math Score ]:[ English Score ]])</f>
        <v>89.666666666666671</v>
      </c>
    </row>
    <row r="5" spans="1:6" x14ac:dyDescent="0.3">
      <c r="A5">
        <v>7</v>
      </c>
      <c r="B5" t="s">
        <v>11</v>
      </c>
      <c r="C5">
        <v>90</v>
      </c>
      <c r="D5">
        <v>86</v>
      </c>
      <c r="E5">
        <v>88</v>
      </c>
      <c r="F5" s="1">
        <f>AVERAGE(Table1[[#This Row],[ Math Score ]:[ English Score ]])</f>
        <v>88</v>
      </c>
    </row>
    <row r="6" spans="1:6" x14ac:dyDescent="0.3">
      <c r="A6">
        <v>4</v>
      </c>
      <c r="B6" t="s">
        <v>8</v>
      </c>
      <c r="C6">
        <v>88</v>
      </c>
      <c r="D6">
        <v>85</v>
      </c>
      <c r="E6">
        <v>92</v>
      </c>
      <c r="F6" s="1">
        <f>AVERAGE(Table1[[#This Row],[ Math Score ]:[ English Score ]])</f>
        <v>88.333333333333329</v>
      </c>
    </row>
    <row r="7" spans="1:6" x14ac:dyDescent="0.3">
      <c r="A7">
        <v>8</v>
      </c>
      <c r="B7" t="s">
        <v>12</v>
      </c>
      <c r="C7">
        <v>87</v>
      </c>
      <c r="D7">
        <v>83</v>
      </c>
      <c r="E7">
        <v>89</v>
      </c>
      <c r="F7" s="1">
        <f>AVERAGE(Table1[[#This Row],[ Math Score ]:[ English Score ]])</f>
        <v>86.333333333333329</v>
      </c>
    </row>
    <row r="8" spans="1:6" x14ac:dyDescent="0.3">
      <c r="A8">
        <v>1</v>
      </c>
      <c r="B8" t="s">
        <v>5</v>
      </c>
      <c r="C8">
        <v>85</v>
      </c>
      <c r="D8">
        <v>90</v>
      </c>
      <c r="E8">
        <v>88</v>
      </c>
      <c r="F8" s="1">
        <f>AVERAGE(Table1[[#This Row],[ Math Score ]:[ English Score ]])</f>
        <v>87.666666666666671</v>
      </c>
    </row>
    <row r="9" spans="1:6" x14ac:dyDescent="0.3">
      <c r="A9">
        <v>6</v>
      </c>
      <c r="B9" t="s">
        <v>10</v>
      </c>
      <c r="C9">
        <v>82</v>
      </c>
      <c r="D9">
        <v>89</v>
      </c>
      <c r="E9">
        <v>84</v>
      </c>
      <c r="F9" s="1">
        <f>AVERAGE(Table1[[#This Row],[ Math Score ]:[ English Score ]])</f>
        <v>85</v>
      </c>
    </row>
    <row r="10" spans="1:6" x14ac:dyDescent="0.3">
      <c r="A10">
        <v>3</v>
      </c>
      <c r="B10" t="s">
        <v>7</v>
      </c>
      <c r="C10">
        <v>78</v>
      </c>
      <c r="D10">
        <v>82</v>
      </c>
      <c r="E10">
        <v>85</v>
      </c>
      <c r="F10" s="1">
        <f>AVERAGE(Table1[[#This Row],[ Math Score ]:[ English Score ]])</f>
        <v>81.666666666666671</v>
      </c>
    </row>
    <row r="13" spans="1:6" x14ac:dyDescent="0.3">
      <c r="B13" t="s">
        <v>14</v>
      </c>
    </row>
    <row r="14" spans="1:6" x14ac:dyDescent="0.3">
      <c r="B14" t="s">
        <v>15</v>
      </c>
    </row>
    <row r="15" spans="1:6" x14ac:dyDescent="0.3">
      <c r="B15" t="s">
        <v>16</v>
      </c>
    </row>
  </sheetData>
  <conditionalFormatting sqref="F2:F10">
    <cfRule type="cellIs" dxfId="7" priority="1" operator="greaterThan">
      <formula>85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68E1-6A2D-432F-8E8C-3A0D5E9FA846}">
  <dimension ref="A1:H18"/>
  <sheetViews>
    <sheetView zoomScale="113" workbookViewId="0">
      <selection activeCell="I7" sqref="I7"/>
    </sheetView>
  </sheetViews>
  <sheetFormatPr defaultRowHeight="14.4" x14ac:dyDescent="0.3"/>
  <cols>
    <col min="1" max="1" width="11.5546875" customWidth="1"/>
    <col min="2" max="2" width="14.77734375" customWidth="1"/>
    <col min="3" max="3" width="10.21875" customWidth="1"/>
    <col min="5" max="5" width="11.33203125" customWidth="1"/>
    <col min="6" max="6" width="14.44140625" customWidth="1"/>
  </cols>
  <sheetData>
    <row r="1" spans="1:8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41</v>
      </c>
    </row>
    <row r="2" spans="1:8" x14ac:dyDescent="0.3">
      <c r="A2">
        <v>1</v>
      </c>
      <c r="B2" t="s">
        <v>23</v>
      </c>
      <c r="C2" t="s">
        <v>24</v>
      </c>
      <c r="D2">
        <v>1000</v>
      </c>
      <c r="E2">
        <v>5</v>
      </c>
      <c r="F2">
        <f>Table2[[#This Row],[Price]]*Table2[[#This Row],[Quantity]]</f>
        <v>5000</v>
      </c>
    </row>
    <row r="3" spans="1:8" x14ac:dyDescent="0.3">
      <c r="A3">
        <v>2</v>
      </c>
      <c r="B3" t="s">
        <v>25</v>
      </c>
      <c r="C3" t="s">
        <v>26</v>
      </c>
      <c r="D3">
        <v>20</v>
      </c>
      <c r="E3">
        <v>10</v>
      </c>
      <c r="F3">
        <f>Table2[[#This Row],[Price]]*Table2[[#This Row],[Quantity]]</f>
        <v>200</v>
      </c>
    </row>
    <row r="4" spans="1:8" x14ac:dyDescent="0.3">
      <c r="A4">
        <v>3</v>
      </c>
      <c r="B4" t="s">
        <v>27</v>
      </c>
      <c r="C4" t="s">
        <v>24</v>
      </c>
      <c r="D4">
        <v>500</v>
      </c>
      <c r="E4">
        <v>8</v>
      </c>
      <c r="F4">
        <f>Table2[[#This Row],[Price]]*Table2[[#This Row],[Quantity]]</f>
        <v>4000</v>
      </c>
    </row>
    <row r="5" spans="1:8" x14ac:dyDescent="0.3">
      <c r="A5">
        <v>4</v>
      </c>
      <c r="B5" t="s">
        <v>28</v>
      </c>
      <c r="C5" t="s">
        <v>24</v>
      </c>
      <c r="D5">
        <v>200</v>
      </c>
      <c r="E5">
        <v>15</v>
      </c>
      <c r="F5">
        <f>Table2[[#This Row],[Price]]*Table2[[#This Row],[Quantity]]</f>
        <v>3000</v>
      </c>
    </row>
    <row r="6" spans="1:8" x14ac:dyDescent="0.3">
      <c r="A6">
        <v>5</v>
      </c>
      <c r="B6" t="s">
        <v>29</v>
      </c>
      <c r="C6" t="s">
        <v>26</v>
      </c>
      <c r="D6">
        <v>50</v>
      </c>
      <c r="E6">
        <v>12</v>
      </c>
      <c r="F6">
        <f>Table2[[#This Row],[Price]]*Table2[[#This Row],[Quantity]]</f>
        <v>600</v>
      </c>
    </row>
    <row r="7" spans="1:8" x14ac:dyDescent="0.3">
      <c r="A7">
        <v>6</v>
      </c>
      <c r="B7" t="s">
        <v>30</v>
      </c>
      <c r="C7" t="s">
        <v>24</v>
      </c>
      <c r="D7">
        <v>700</v>
      </c>
      <c r="E7">
        <v>6</v>
      </c>
      <c r="F7">
        <f>Table2[[#This Row],[Price]]*Table2[[#This Row],[Quantity]]</f>
        <v>4200</v>
      </c>
    </row>
    <row r="8" spans="1:8" x14ac:dyDescent="0.3">
      <c r="A8">
        <v>7</v>
      </c>
      <c r="B8" t="s">
        <v>31</v>
      </c>
      <c r="C8" t="s">
        <v>26</v>
      </c>
      <c r="D8">
        <v>30</v>
      </c>
      <c r="E8">
        <v>20</v>
      </c>
      <c r="F8">
        <f>Table2[[#This Row],[Price]]*Table2[[#This Row],[Quantity]]</f>
        <v>600</v>
      </c>
    </row>
    <row r="9" spans="1:8" x14ac:dyDescent="0.3">
      <c r="A9">
        <v>8</v>
      </c>
      <c r="B9" t="s">
        <v>32</v>
      </c>
      <c r="C9" t="s">
        <v>24</v>
      </c>
      <c r="D9">
        <v>1200</v>
      </c>
      <c r="E9">
        <v>3</v>
      </c>
      <c r="F9">
        <f>Table2[[#This Row],[Price]]*Table2[[#This Row],[Quantity]]</f>
        <v>3600</v>
      </c>
    </row>
    <row r="10" spans="1:8" x14ac:dyDescent="0.3">
      <c r="A10">
        <v>9</v>
      </c>
      <c r="B10" t="s">
        <v>33</v>
      </c>
      <c r="C10" t="s">
        <v>26</v>
      </c>
      <c r="D10">
        <v>80</v>
      </c>
      <c r="E10">
        <v>7</v>
      </c>
      <c r="F10">
        <f>Table2[[#This Row],[Price]]*Table2[[#This Row],[Quantity]]</f>
        <v>560</v>
      </c>
    </row>
    <row r="11" spans="1:8" x14ac:dyDescent="0.3">
      <c r="A11">
        <v>10</v>
      </c>
      <c r="B11" t="s">
        <v>34</v>
      </c>
      <c r="C11" t="s">
        <v>24</v>
      </c>
      <c r="D11">
        <v>300</v>
      </c>
      <c r="E11">
        <v>10</v>
      </c>
      <c r="F11">
        <f>Table2[[#This Row],[Price]]*Table2[[#This Row],[Quantity]]</f>
        <v>3000</v>
      </c>
    </row>
    <row r="12" spans="1:8" x14ac:dyDescent="0.3">
      <c r="H12" t="s">
        <v>35</v>
      </c>
    </row>
    <row r="14" spans="1:8" x14ac:dyDescent="0.3">
      <c r="H14" t="s">
        <v>36</v>
      </c>
    </row>
    <row r="15" spans="1:8" x14ac:dyDescent="0.3">
      <c r="H15" t="s">
        <v>37</v>
      </c>
    </row>
    <row r="16" spans="1:8" x14ac:dyDescent="0.3">
      <c r="H16" t="s">
        <v>38</v>
      </c>
    </row>
    <row r="17" spans="8:8" x14ac:dyDescent="0.3">
      <c r="H17" t="s">
        <v>39</v>
      </c>
    </row>
    <row r="18" spans="8:8" x14ac:dyDescent="0.3">
      <c r="H18" t="s">
        <v>40</v>
      </c>
    </row>
  </sheetData>
  <conditionalFormatting sqref="D2:D11">
    <cfRule type="cellIs" dxfId="6" priority="1" operator="greaterThan">
      <formula>500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C8BB-B350-4C24-AA34-56A2DC2A76AE}">
  <dimension ref="A1:I21"/>
  <sheetViews>
    <sheetView workbookViewId="0">
      <selection activeCell="L25" sqref="L25:M26"/>
    </sheetView>
  </sheetViews>
  <sheetFormatPr defaultRowHeight="14.4" x14ac:dyDescent="0.3"/>
  <cols>
    <col min="4" max="4" width="9" customWidth="1"/>
    <col min="5" max="5" width="11.88671875" customWidth="1"/>
    <col min="6" max="6" width="12.109375" customWidth="1"/>
    <col min="7" max="7" width="9.109375" customWidth="1"/>
    <col min="9" max="9" width="13.109375" customWidth="1"/>
    <col min="10" max="10" width="9.33203125" customWidth="1"/>
  </cols>
  <sheetData>
    <row r="1" spans="1:9" x14ac:dyDescent="0.3">
      <c r="A1" t="s">
        <v>42</v>
      </c>
      <c r="B1" t="s">
        <v>43</v>
      </c>
      <c r="C1" t="s">
        <v>44</v>
      </c>
      <c r="D1" t="s">
        <v>45</v>
      </c>
      <c r="E1" t="s">
        <v>60</v>
      </c>
      <c r="F1" t="s">
        <v>17</v>
      </c>
    </row>
    <row r="2" spans="1:9" x14ac:dyDescent="0.3">
      <c r="A2" t="s">
        <v>46</v>
      </c>
      <c r="B2">
        <v>1200</v>
      </c>
      <c r="C2">
        <v>1100</v>
      </c>
      <c r="D2">
        <v>900</v>
      </c>
      <c r="E2">
        <f>SUM(Table3[[#This Row],[Sales A]:[Sales C]])</f>
        <v>3200</v>
      </c>
      <c r="F2">
        <f>AVERAGE(Table3[[#This Row],[Sales A]:[Sales C]])</f>
        <v>1066.6666666666667</v>
      </c>
    </row>
    <row r="3" spans="1:9" x14ac:dyDescent="0.3">
      <c r="A3" t="s">
        <v>47</v>
      </c>
      <c r="B3">
        <v>900</v>
      </c>
      <c r="C3">
        <v>1000</v>
      </c>
      <c r="D3">
        <v>800</v>
      </c>
      <c r="E3">
        <f>SUM(Table3[[#This Row],[Sales A]:[Sales C]])</f>
        <v>2700</v>
      </c>
      <c r="F3">
        <f>AVERAGE(Table3[[#This Row],[Sales A]:[Sales C]])</f>
        <v>900</v>
      </c>
      <c r="I3" s="2" t="s">
        <v>61</v>
      </c>
    </row>
    <row r="4" spans="1:9" x14ac:dyDescent="0.3">
      <c r="A4" t="s">
        <v>48</v>
      </c>
      <c r="B4">
        <v>1300</v>
      </c>
      <c r="C4">
        <v>950</v>
      </c>
      <c r="D4">
        <v>1050</v>
      </c>
      <c r="E4">
        <f>SUM(Table3[[#This Row],[Sales A]:[Sales C]])</f>
        <v>3300</v>
      </c>
      <c r="F4">
        <f>AVERAGE(Table3[[#This Row],[Sales A]:[Sales C]])</f>
        <v>1100</v>
      </c>
      <c r="I4" s="3">
        <f>MAX(Table3[[Sales A]:[Sales C]])</f>
        <v>1300</v>
      </c>
    </row>
    <row r="5" spans="1:9" x14ac:dyDescent="0.3">
      <c r="A5" t="s">
        <v>49</v>
      </c>
      <c r="B5">
        <v>1100</v>
      </c>
      <c r="C5">
        <v>1200</v>
      </c>
      <c r="D5">
        <v>850</v>
      </c>
      <c r="E5">
        <f>SUM(Table3[[#This Row],[Sales A]:[Sales C]])</f>
        <v>3150</v>
      </c>
      <c r="F5">
        <f>AVERAGE(Table3[[#This Row],[Sales A]:[Sales C]])</f>
        <v>1050</v>
      </c>
    </row>
    <row r="6" spans="1:9" x14ac:dyDescent="0.3">
      <c r="A6" t="s">
        <v>50</v>
      </c>
      <c r="B6">
        <v>950</v>
      </c>
      <c r="C6">
        <v>800</v>
      </c>
      <c r="D6">
        <v>950</v>
      </c>
      <c r="E6">
        <f>SUM(Table3[[#This Row],[Sales A]:[Sales C]])</f>
        <v>2700</v>
      </c>
      <c r="F6">
        <f>AVERAGE(Table3[[#This Row],[Sales A]:[Sales C]])</f>
        <v>900</v>
      </c>
    </row>
    <row r="7" spans="1:9" x14ac:dyDescent="0.3">
      <c r="A7" t="s">
        <v>51</v>
      </c>
      <c r="B7">
        <v>1150</v>
      </c>
      <c r="C7">
        <v>1050</v>
      </c>
      <c r="D7">
        <v>1000</v>
      </c>
      <c r="E7">
        <f>SUM(Table3[[#This Row],[Sales A]:[Sales C]])</f>
        <v>3200</v>
      </c>
      <c r="F7">
        <f>AVERAGE(Table3[[#This Row],[Sales A]:[Sales C]])</f>
        <v>1066.6666666666667</v>
      </c>
    </row>
    <row r="8" spans="1:9" x14ac:dyDescent="0.3">
      <c r="A8" t="s">
        <v>52</v>
      </c>
      <c r="B8">
        <v>1050</v>
      </c>
      <c r="C8">
        <v>900</v>
      </c>
      <c r="D8">
        <v>1100</v>
      </c>
      <c r="E8">
        <f>SUM(Table3[[#This Row],[Sales A]:[Sales C]])</f>
        <v>3050</v>
      </c>
      <c r="F8">
        <f>AVERAGE(Table3[[#This Row],[Sales A]:[Sales C]])</f>
        <v>1016.6666666666666</v>
      </c>
    </row>
    <row r="9" spans="1:9" x14ac:dyDescent="0.3">
      <c r="A9" t="s">
        <v>53</v>
      </c>
      <c r="B9">
        <v>1000</v>
      </c>
      <c r="C9">
        <v>1150</v>
      </c>
      <c r="D9">
        <v>950</v>
      </c>
      <c r="E9">
        <f>SUM(Table3[[#This Row],[Sales A]:[Sales C]])</f>
        <v>3100</v>
      </c>
      <c r="F9">
        <f>AVERAGE(Table3[[#This Row],[Sales A]:[Sales C]])</f>
        <v>1033.3333333333333</v>
      </c>
    </row>
    <row r="10" spans="1:9" x14ac:dyDescent="0.3">
      <c r="A10" t="s">
        <v>54</v>
      </c>
      <c r="B10">
        <v>1250</v>
      </c>
      <c r="C10">
        <v>1000</v>
      </c>
      <c r="D10">
        <v>1200</v>
      </c>
      <c r="E10">
        <f>SUM(Table3[[#This Row],[Sales A]:[Sales C]])</f>
        <v>3450</v>
      </c>
      <c r="F10">
        <f>AVERAGE(Table3[[#This Row],[Sales A]:[Sales C]])</f>
        <v>1150</v>
      </c>
    </row>
    <row r="15" spans="1:9" x14ac:dyDescent="0.3">
      <c r="G15" t="s">
        <v>35</v>
      </c>
    </row>
    <row r="17" spans="7:7" x14ac:dyDescent="0.3">
      <c r="G17" t="s">
        <v>55</v>
      </c>
    </row>
    <row r="18" spans="7:7" x14ac:dyDescent="0.3">
      <c r="G18" t="s">
        <v>56</v>
      </c>
    </row>
    <row r="19" spans="7:7" x14ac:dyDescent="0.3">
      <c r="G19" t="s">
        <v>57</v>
      </c>
    </row>
    <row r="20" spans="7:7" x14ac:dyDescent="0.3">
      <c r="G20" t="s">
        <v>58</v>
      </c>
    </row>
    <row r="21" spans="7:7" x14ac:dyDescent="0.3">
      <c r="G21" t="s">
        <v>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44A9-8D55-47A0-8D60-291109E14CB7}">
  <dimension ref="A1:L16"/>
  <sheetViews>
    <sheetView workbookViewId="0">
      <selection activeCell="L7" sqref="L7"/>
    </sheetView>
  </sheetViews>
  <sheetFormatPr defaultRowHeight="14.4" x14ac:dyDescent="0.3"/>
  <cols>
    <col min="2" max="2" width="8.88671875" customWidth="1"/>
    <col min="3" max="3" width="9.88671875" customWidth="1"/>
    <col min="5" max="5" width="11" customWidth="1"/>
    <col min="7" max="7" width="16.21875" customWidth="1"/>
    <col min="8" max="8" width="14.44140625" customWidth="1"/>
    <col min="10" max="10" width="9.88671875" customWidth="1"/>
    <col min="12" max="12" width="12.77734375" customWidth="1"/>
  </cols>
  <sheetData>
    <row r="1" spans="1:12" x14ac:dyDescent="0.3">
      <c r="A1" t="s">
        <v>63</v>
      </c>
      <c r="B1" t="s">
        <v>64</v>
      </c>
      <c r="C1" t="s">
        <v>65</v>
      </c>
      <c r="D1" t="s">
        <v>66</v>
      </c>
      <c r="E1" t="s">
        <v>62</v>
      </c>
    </row>
    <row r="2" spans="1:12" x14ac:dyDescent="0.3">
      <c r="A2" t="s">
        <v>67</v>
      </c>
      <c r="B2" s="5">
        <v>550</v>
      </c>
      <c r="C2" s="5">
        <v>820</v>
      </c>
      <c r="D2" s="5">
        <f>C2-B2</f>
        <v>270</v>
      </c>
      <c r="E2" t="str">
        <f>IF(Table4[[#This Row],[Profit]]&gt;0,"Profitable","Not Profitable")</f>
        <v>Profitable</v>
      </c>
      <c r="G2" s="4" t="s">
        <v>85</v>
      </c>
      <c r="H2" s="4" t="s">
        <v>84</v>
      </c>
      <c r="J2" s="4" t="s">
        <v>82</v>
      </c>
      <c r="L2" s="4" t="s">
        <v>83</v>
      </c>
    </row>
    <row r="3" spans="1:12" x14ac:dyDescent="0.3">
      <c r="A3" t="s">
        <v>68</v>
      </c>
      <c r="B3" s="5">
        <v>630</v>
      </c>
      <c r="C3" s="5">
        <v>950</v>
      </c>
      <c r="D3" s="5">
        <f t="shared" ref="D3:D11" si="0">C3-B3</f>
        <v>320</v>
      </c>
      <c r="E3" t="str">
        <f>IF(Table4[[#This Row],[Profit]]&gt;0,"Profitable","Not Profitable")</f>
        <v>Profitable</v>
      </c>
      <c r="G3">
        <f>COUNTIF(Table4[Column1],"Not Profitable")</f>
        <v>0</v>
      </c>
      <c r="H3">
        <f>COUNTIF(Table4[Column1],"Profitable")</f>
        <v>10</v>
      </c>
      <c r="J3" s="5">
        <f>SUM(Table4[Cost])</f>
        <v>6370</v>
      </c>
      <c r="L3" s="5">
        <f>SUM(Table4[Revenue])</f>
        <v>9350</v>
      </c>
    </row>
    <row r="4" spans="1:12" x14ac:dyDescent="0.3">
      <c r="A4" t="s">
        <v>69</v>
      </c>
      <c r="B4" s="5">
        <v>720</v>
      </c>
      <c r="C4" s="5">
        <v>1050</v>
      </c>
      <c r="D4" s="5">
        <f t="shared" si="0"/>
        <v>330</v>
      </c>
      <c r="E4" t="str">
        <f>IF(Table4[[#This Row],[Profit]]&gt;0,"Profitable","Not Profitable")</f>
        <v>Profitable</v>
      </c>
    </row>
    <row r="5" spans="1:12" x14ac:dyDescent="0.3">
      <c r="A5" t="s">
        <v>70</v>
      </c>
      <c r="B5" s="5">
        <v>680</v>
      </c>
      <c r="C5" s="5">
        <v>980</v>
      </c>
      <c r="D5" s="5">
        <f t="shared" si="0"/>
        <v>300</v>
      </c>
      <c r="E5" t="str">
        <f>IF(Table4[[#This Row],[Profit]]&gt;0,"Profitable","Not Profitable")</f>
        <v>Profitable</v>
      </c>
    </row>
    <row r="6" spans="1:12" x14ac:dyDescent="0.3">
      <c r="A6" t="s">
        <v>71</v>
      </c>
      <c r="B6" s="5">
        <v>590</v>
      </c>
      <c r="C6" s="5">
        <v>870</v>
      </c>
      <c r="D6" s="5">
        <f t="shared" si="0"/>
        <v>280</v>
      </c>
      <c r="E6" t="str">
        <f>IF(Table4[[#This Row],[Profit]]&gt;0,"Profitable","Not Profitable")</f>
        <v>Profitable</v>
      </c>
    </row>
    <row r="7" spans="1:12" x14ac:dyDescent="0.3">
      <c r="A7" t="s">
        <v>72</v>
      </c>
      <c r="B7" s="5">
        <v>660</v>
      </c>
      <c r="C7" s="5">
        <v>930</v>
      </c>
      <c r="D7" s="5">
        <f t="shared" si="0"/>
        <v>270</v>
      </c>
      <c r="E7" t="str">
        <f>IF(Table4[[#This Row],[Profit]]&gt;0,"Profitable","Not Profitable")</f>
        <v>Profitable</v>
      </c>
    </row>
    <row r="8" spans="1:12" x14ac:dyDescent="0.3">
      <c r="A8" t="s">
        <v>73</v>
      </c>
      <c r="B8" s="5">
        <v>710</v>
      </c>
      <c r="C8" s="5">
        <v>1020</v>
      </c>
      <c r="D8" s="5">
        <f t="shared" si="0"/>
        <v>310</v>
      </c>
      <c r="E8" t="str">
        <f>IF(Table4[[#This Row],[Profit]]&gt;0,"Profitable","Not Profitable")</f>
        <v>Profitable</v>
      </c>
    </row>
    <row r="9" spans="1:12" x14ac:dyDescent="0.3">
      <c r="A9" t="s">
        <v>74</v>
      </c>
      <c r="B9" s="5">
        <v>590</v>
      </c>
      <c r="C9" s="5">
        <v>880</v>
      </c>
      <c r="D9" s="5">
        <f t="shared" si="0"/>
        <v>290</v>
      </c>
      <c r="E9" t="str">
        <f>IF(Table4[[#This Row],[Profit]]&gt;0,"Profitable","Not Profitable")</f>
        <v>Profitable</v>
      </c>
    </row>
    <row r="10" spans="1:12" x14ac:dyDescent="0.3">
      <c r="A10" t="s">
        <v>75</v>
      </c>
      <c r="B10" s="5">
        <v>640</v>
      </c>
      <c r="C10" s="5">
        <v>940</v>
      </c>
      <c r="D10" s="5">
        <f t="shared" si="0"/>
        <v>300</v>
      </c>
      <c r="E10" t="str">
        <f>IF(Table4[[#This Row],[Profit]]&gt;0,"Profitable","Not Profitable")</f>
        <v>Profitable</v>
      </c>
      <c r="H10" t="s">
        <v>35</v>
      </c>
    </row>
    <row r="11" spans="1:12" x14ac:dyDescent="0.3">
      <c r="A11" t="s">
        <v>76</v>
      </c>
      <c r="B11" s="5">
        <v>600</v>
      </c>
      <c r="C11" s="5">
        <v>910</v>
      </c>
      <c r="D11" s="5">
        <f t="shared" si="0"/>
        <v>310</v>
      </c>
      <c r="E11" t="str">
        <f>IF(Table4[[#This Row],[Profit]]&gt;0,"Profitable","Not Profitable")</f>
        <v>Profitable</v>
      </c>
    </row>
    <row r="12" spans="1:12" x14ac:dyDescent="0.3">
      <c r="H12" t="s">
        <v>77</v>
      </c>
    </row>
    <row r="13" spans="1:12" x14ac:dyDescent="0.3">
      <c r="H13" t="s">
        <v>78</v>
      </c>
    </row>
    <row r="14" spans="1:12" x14ac:dyDescent="0.3">
      <c r="H14" t="s">
        <v>79</v>
      </c>
    </row>
    <row r="15" spans="1:12" x14ac:dyDescent="0.3">
      <c r="H15" t="s">
        <v>80</v>
      </c>
    </row>
    <row r="16" spans="1:12" x14ac:dyDescent="0.3">
      <c r="H16" t="s">
        <v>81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573E-D43E-463C-9AE7-FBB38794749B}">
  <dimension ref="A1:I17"/>
  <sheetViews>
    <sheetView tabSelected="1" zoomScale="114" workbookViewId="0">
      <selection activeCell="K5" sqref="K5"/>
    </sheetView>
  </sheetViews>
  <sheetFormatPr defaultRowHeight="14.4" x14ac:dyDescent="0.3"/>
  <cols>
    <col min="1" max="1" width="13.21875" customWidth="1"/>
    <col min="2" max="2" width="16.44140625" customWidth="1"/>
    <col min="3" max="3" width="12.88671875" customWidth="1"/>
    <col min="5" max="5" width="10.6640625" customWidth="1"/>
  </cols>
  <sheetData>
    <row r="1" spans="1:9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</row>
    <row r="2" spans="1:9" x14ac:dyDescent="0.3">
      <c r="A2">
        <v>1</v>
      </c>
      <c r="B2" t="s">
        <v>91</v>
      </c>
      <c r="C2" t="s">
        <v>92</v>
      </c>
      <c r="D2">
        <v>55000</v>
      </c>
      <c r="E2" s="6">
        <v>43059</v>
      </c>
    </row>
    <row r="3" spans="1:9" x14ac:dyDescent="0.3">
      <c r="A3">
        <v>2</v>
      </c>
      <c r="B3" t="s">
        <v>93</v>
      </c>
      <c r="C3" t="s">
        <v>94</v>
      </c>
      <c r="D3">
        <v>65000</v>
      </c>
      <c r="E3" s="6">
        <v>43682</v>
      </c>
    </row>
    <row r="4" spans="1:9" x14ac:dyDescent="0.3">
      <c r="A4">
        <v>3</v>
      </c>
      <c r="B4" t="s">
        <v>95</v>
      </c>
      <c r="C4" t="s">
        <v>96</v>
      </c>
      <c r="D4">
        <v>72000</v>
      </c>
      <c r="E4" s="6">
        <v>43146</v>
      </c>
    </row>
    <row r="5" spans="1:9" x14ac:dyDescent="0.3">
      <c r="A5">
        <v>4</v>
      </c>
      <c r="B5" t="s">
        <v>97</v>
      </c>
      <c r="C5" t="s">
        <v>94</v>
      </c>
      <c r="D5">
        <v>63000</v>
      </c>
      <c r="E5" s="6">
        <v>43833</v>
      </c>
    </row>
    <row r="6" spans="1:9" x14ac:dyDescent="0.3">
      <c r="A6">
        <v>5</v>
      </c>
      <c r="B6" t="s">
        <v>98</v>
      </c>
      <c r="C6" t="s">
        <v>92</v>
      </c>
      <c r="D6">
        <v>58000</v>
      </c>
      <c r="E6" s="6">
        <v>42623</v>
      </c>
    </row>
    <row r="7" spans="1:9" x14ac:dyDescent="0.3">
      <c r="A7">
        <v>6</v>
      </c>
      <c r="B7" t="s">
        <v>99</v>
      </c>
      <c r="C7" t="s">
        <v>96</v>
      </c>
      <c r="D7">
        <v>68000</v>
      </c>
      <c r="E7" s="6">
        <v>42911</v>
      </c>
    </row>
    <row r="8" spans="1:9" x14ac:dyDescent="0.3">
      <c r="A8">
        <v>7</v>
      </c>
      <c r="B8" t="s">
        <v>100</v>
      </c>
      <c r="C8" t="s">
        <v>94</v>
      </c>
      <c r="D8">
        <v>70000</v>
      </c>
      <c r="E8" s="6">
        <v>43567</v>
      </c>
    </row>
    <row r="11" spans="1:9" x14ac:dyDescent="0.3">
      <c r="I11" t="s">
        <v>35</v>
      </c>
    </row>
    <row r="13" spans="1:9" x14ac:dyDescent="0.3">
      <c r="I13" t="s">
        <v>101</v>
      </c>
    </row>
    <row r="14" spans="1:9" x14ac:dyDescent="0.3">
      <c r="I14" t="s">
        <v>102</v>
      </c>
    </row>
    <row r="15" spans="1:9" x14ac:dyDescent="0.3">
      <c r="I15" t="s">
        <v>103</v>
      </c>
    </row>
    <row r="16" spans="1:9" x14ac:dyDescent="0.3">
      <c r="I16" t="s">
        <v>104</v>
      </c>
    </row>
    <row r="17" spans="9:9" x14ac:dyDescent="0.3">
      <c r="I17" t="s">
        <v>105</v>
      </c>
    </row>
  </sheetData>
  <conditionalFormatting sqref="D2:D8">
    <cfRule type="cellIs" dxfId="0" priority="1" operator="greaterThan">
      <formula>60000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Gupta</dc:creator>
  <cp:lastModifiedBy>Swastik Gupta</cp:lastModifiedBy>
  <dcterms:created xsi:type="dcterms:W3CDTF">2026-09-22T05:17:29Z</dcterms:created>
  <dcterms:modified xsi:type="dcterms:W3CDTF">2026-09-22T06:14:41Z</dcterms:modified>
</cp:coreProperties>
</file>